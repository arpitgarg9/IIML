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IIML\Managerial Economics\"/>
    </mc:Choice>
  </mc:AlternateContent>
  <xr:revisionPtr revIDLastSave="0" documentId="13_ncr:1_{4584F184-2434-4983-937C-ED07B4E324F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ice elasticity" sheetId="1" r:id="rId1"/>
    <sheet name="Refererence data" sheetId="3" r:id="rId2"/>
    <sheet name="Graph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6" i="1"/>
  <c r="H5" i="1"/>
  <c r="H4" i="1"/>
  <c r="H3" i="1"/>
  <c r="G11" i="1"/>
  <c r="G10" i="1"/>
  <c r="G9" i="1"/>
  <c r="G8" i="1"/>
  <c r="G7" i="1"/>
  <c r="G6" i="1"/>
  <c r="G5" i="1"/>
  <c r="G4" i="1"/>
  <c r="G3" i="1"/>
  <c r="F11" i="1"/>
  <c r="F10" i="1"/>
  <c r="F9" i="1"/>
  <c r="F8" i="1"/>
  <c r="F7" i="1"/>
  <c r="F4" i="1"/>
  <c r="F3" i="1"/>
  <c r="F5" i="1"/>
  <c r="F6" i="1"/>
  <c r="E11" i="1"/>
  <c r="E10" i="1"/>
  <c r="E9" i="1"/>
  <c r="E8" i="1"/>
  <c r="E7" i="1"/>
  <c r="E6" i="1"/>
  <c r="E5" i="1"/>
  <c r="E4" i="1"/>
  <c r="E3" i="1"/>
  <c r="E2" i="1"/>
  <c r="C11" i="1"/>
  <c r="C10" i="1"/>
  <c r="C9" i="1"/>
  <c r="C8" i="1"/>
  <c r="C7" i="1"/>
  <c r="C6" i="1"/>
  <c r="C5" i="1"/>
  <c r="C4" i="1"/>
  <c r="C3" i="1"/>
  <c r="A6" i="1"/>
  <c r="A7" i="1" s="1"/>
  <c r="A8" i="1" s="1"/>
  <c r="A9" i="1" s="1"/>
  <c r="A10" i="1" s="1"/>
  <c r="A11" i="1" s="1"/>
  <c r="A5" i="1"/>
  <c r="A4" i="1"/>
  <c r="A3" i="1"/>
  <c r="C2" i="1"/>
</calcChain>
</file>

<file path=xl/sharedStrings.xml><?xml version="1.0" encoding="utf-8"?>
<sst xmlns="http://schemas.openxmlformats.org/spreadsheetml/2006/main" count="12" uniqueCount="8">
  <si>
    <t>Year</t>
  </si>
  <si>
    <t>Price per iphone</t>
  </si>
  <si>
    <t>Units in Millions sold</t>
  </si>
  <si>
    <t>Revenue in Billions</t>
  </si>
  <si>
    <t>Revenue in Millions</t>
  </si>
  <si>
    <t>% change in Units sold (Y-o-Y)</t>
  </si>
  <si>
    <t>% change in price (Y-o-Y)</t>
  </si>
  <si>
    <t>Price elasticity of Demand (Ed)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</si>
</sst>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Iphone sales accross years</a:t>
            </a:r>
          </a:p>
        </c:rich>
      </c:tx>
      <c:layout>
        <c:manualLayout>
          <c:xMode val="edge"/>
          <c:yMode val="edge"/>
          <c:x val="0.2767290026246719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Graphs!$B$1</c:f>
              <c:strCache>
                <c:ptCount val="1"/>
                <c:pt idx="0">
                  <c:v>Units in Millions sold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Graphs!$A$2:$A$11</c:f>
              <c:numCache>
                <c:formatCode>General</c:formatCode>
                <c:ptCount val="1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</c:numCache>
            </c:numRef>
          </c:xVal>
          <c:yVal>
            <c:numRef>
              <c:f>Graphs!$B$2:$B$11</c:f>
              <c:numCache>
                <c:formatCode>General</c:formatCode>
                <c:ptCount val="10"/>
                <c:pt idx="0">
                  <c:v>1.39</c:v>
                </c:pt>
                <c:pt idx="1">
                  <c:v>11.63</c:v>
                </c:pt>
                <c:pt idx="2">
                  <c:v>20.73</c:v>
                </c:pt>
                <c:pt idx="3">
                  <c:v>39.99</c:v>
                </c:pt>
                <c:pt idx="4">
                  <c:v>72.290000000000006</c:v>
                </c:pt>
                <c:pt idx="5">
                  <c:v>125.05</c:v>
                </c:pt>
                <c:pt idx="6">
                  <c:v>150.26</c:v>
                </c:pt>
                <c:pt idx="7">
                  <c:v>169.22</c:v>
                </c:pt>
                <c:pt idx="8">
                  <c:v>231.22</c:v>
                </c:pt>
                <c:pt idx="9">
                  <c:v>211.8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4F-48B4-B896-0672FE93D26F}"/>
            </c:ext>
          </c:extLst>
        </c:ser>
        <c:ser>
          <c:idx val="1"/>
          <c:order val="1"/>
          <c:tx>
            <c:strRef>
              <c:f>Graphs!$C$1</c:f>
              <c:strCache>
                <c:ptCount val="1"/>
                <c:pt idx="0">
                  <c:v>Price per iphone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Graphs!$A$2:$A$11</c:f>
              <c:numCache>
                <c:formatCode>General</c:formatCode>
                <c:ptCount val="1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</c:numCache>
            </c:numRef>
          </c:xVal>
          <c:yVal>
            <c:numRef>
              <c:f>Graphs!$C$2:$C$11</c:f>
              <c:numCache>
                <c:formatCode>General</c:formatCode>
                <c:ptCount val="10"/>
                <c:pt idx="0">
                  <c:v>432</c:v>
                </c:pt>
                <c:pt idx="1">
                  <c:v>576</c:v>
                </c:pt>
                <c:pt idx="2">
                  <c:v>627</c:v>
                </c:pt>
                <c:pt idx="3">
                  <c:v>630</c:v>
                </c:pt>
                <c:pt idx="4">
                  <c:v>636</c:v>
                </c:pt>
                <c:pt idx="5">
                  <c:v>629</c:v>
                </c:pt>
                <c:pt idx="6">
                  <c:v>608</c:v>
                </c:pt>
                <c:pt idx="7">
                  <c:v>603</c:v>
                </c:pt>
                <c:pt idx="8">
                  <c:v>670</c:v>
                </c:pt>
                <c:pt idx="9">
                  <c:v>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4F-48B4-B896-0672FE93D26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75402768"/>
        <c:axId val="2075404848"/>
      </c:scatterChart>
      <c:valAx>
        <c:axId val="207540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404848"/>
        <c:crosses val="autoZero"/>
        <c:crossBetween val="midCat"/>
      </c:valAx>
      <c:valAx>
        <c:axId val="207540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402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</a:t>
            </a:r>
            <a:r>
              <a:rPr lang="en-US" baseline="0"/>
              <a:t> Elasticity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Graphs!$B$1</c:f>
              <c:strCache>
                <c:ptCount val="1"/>
                <c:pt idx="0">
                  <c:v>Units in Millions sold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Graphs!$A$2:$A$11</c:f>
              <c:numCache>
                <c:formatCode>General</c:formatCode>
                <c:ptCount val="1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</c:numCache>
            </c:numRef>
          </c:xVal>
          <c:yVal>
            <c:numRef>
              <c:f>Graphs!$B$2:$B$11</c:f>
              <c:numCache>
                <c:formatCode>General</c:formatCode>
                <c:ptCount val="10"/>
                <c:pt idx="0">
                  <c:v>1.39</c:v>
                </c:pt>
                <c:pt idx="1">
                  <c:v>11.63</c:v>
                </c:pt>
                <c:pt idx="2">
                  <c:v>20.73</c:v>
                </c:pt>
                <c:pt idx="3">
                  <c:v>39.99</c:v>
                </c:pt>
                <c:pt idx="4">
                  <c:v>72.290000000000006</c:v>
                </c:pt>
                <c:pt idx="5">
                  <c:v>125.05</c:v>
                </c:pt>
                <c:pt idx="6">
                  <c:v>150.26</c:v>
                </c:pt>
                <c:pt idx="7">
                  <c:v>169.22</c:v>
                </c:pt>
                <c:pt idx="8">
                  <c:v>231.22</c:v>
                </c:pt>
                <c:pt idx="9">
                  <c:v>211.8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5-4307-AE4B-C0AC82647BA5}"/>
            </c:ext>
          </c:extLst>
        </c:ser>
        <c:ser>
          <c:idx val="1"/>
          <c:order val="1"/>
          <c:tx>
            <c:strRef>
              <c:f>Graphs!$C$1</c:f>
              <c:strCache>
                <c:ptCount val="1"/>
                <c:pt idx="0">
                  <c:v>Price per iphone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Graphs!$A$2:$A$11</c:f>
              <c:numCache>
                <c:formatCode>General</c:formatCode>
                <c:ptCount val="1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</c:numCache>
            </c:numRef>
          </c:xVal>
          <c:yVal>
            <c:numRef>
              <c:f>Graphs!$C$2:$C$11</c:f>
              <c:numCache>
                <c:formatCode>General</c:formatCode>
                <c:ptCount val="10"/>
                <c:pt idx="0">
                  <c:v>432</c:v>
                </c:pt>
                <c:pt idx="1">
                  <c:v>576</c:v>
                </c:pt>
                <c:pt idx="2">
                  <c:v>627</c:v>
                </c:pt>
                <c:pt idx="3">
                  <c:v>630</c:v>
                </c:pt>
                <c:pt idx="4">
                  <c:v>636</c:v>
                </c:pt>
                <c:pt idx="5">
                  <c:v>629</c:v>
                </c:pt>
                <c:pt idx="6">
                  <c:v>608</c:v>
                </c:pt>
                <c:pt idx="7">
                  <c:v>603</c:v>
                </c:pt>
                <c:pt idx="8">
                  <c:v>670</c:v>
                </c:pt>
                <c:pt idx="9">
                  <c:v>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55-4307-AE4B-C0AC82647BA5}"/>
            </c:ext>
          </c:extLst>
        </c:ser>
        <c:ser>
          <c:idx val="2"/>
          <c:order val="2"/>
          <c:tx>
            <c:strRef>
              <c:f>Graphs!$D$1</c:f>
              <c:strCache>
                <c:ptCount val="1"/>
                <c:pt idx="0">
                  <c:v>Price elasticity of Demand (Ed)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Graphs!$A$2:$A$11</c:f>
              <c:numCache>
                <c:formatCode>General</c:formatCode>
                <c:ptCount val="1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</c:numCache>
            </c:numRef>
          </c:xVal>
          <c:yVal>
            <c:numRef>
              <c:f>Graphs!$D$2:$D$11</c:f>
              <c:numCache>
                <c:formatCode>General</c:formatCode>
                <c:ptCount val="10"/>
                <c:pt idx="1">
                  <c:v>5</c:v>
                </c:pt>
                <c:pt idx="2">
                  <c:v>7</c:v>
                </c:pt>
                <c:pt idx="3">
                  <c:v>100</c:v>
                </c:pt>
                <c:pt idx="4">
                  <c:v>58</c:v>
                </c:pt>
                <c:pt idx="5">
                  <c:v>53</c:v>
                </c:pt>
                <c:pt idx="6">
                  <c:v>6</c:v>
                </c:pt>
                <c:pt idx="7">
                  <c:v>12</c:v>
                </c:pt>
                <c:pt idx="8">
                  <c:v>3</c:v>
                </c:pt>
                <c:pt idx="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55-4307-AE4B-C0AC82647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7989376"/>
        <c:axId val="1757991456"/>
      </c:scatterChart>
      <c:valAx>
        <c:axId val="175798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991456"/>
        <c:crosses val="autoZero"/>
        <c:crossBetween val="midCat"/>
      </c:valAx>
      <c:valAx>
        <c:axId val="175799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989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510540</xdr:colOff>
      <xdr:row>15</xdr:row>
      <xdr:rowOff>99060</xdr:rowOff>
    </xdr:from>
    <xdr:to>
      <xdr:col>5</xdr:col>
      <xdr:colOff>267061</xdr:colOff>
      <xdr:row>26</xdr:row>
      <xdr:rowOff>30648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9F9F16-06A8-483C-B0BB-BF9236E18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140" y="2842260"/>
          <a:ext cx="4168501" cy="19432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14</xdr:col>
      <xdr:colOff>587530</xdr:colOff>
      <xdr:row>31</xdr:row>
      <xdr:rowOff>114785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D2D4C-6EEA-4D88-8802-11E7A9216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9121930" cy="56011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0</xdr:row>
      <xdr:rowOff>152400</xdr:rowOff>
    </xdr:from>
    <xdr:to>
      <xdr:col>13</xdr:col>
      <xdr:colOff>7620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255D26-BDF3-4E6E-B6B1-1783CC5B9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342900</xdr:colOff>
      <xdr:row>0</xdr:row>
      <xdr:rowOff>144780</xdr:rowOff>
    </xdr:from>
    <xdr:to>
      <xdr:col>21</xdr:col>
      <xdr:colOff>38100</xdr:colOff>
      <xdr:row>15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1A02D2-566B-423E-A106-A8FFC8FC1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H1" sqref="H1:H11"/>
    </sheetView>
  </sheetViews>
  <sheetFormatPr defaultRowHeight="14.4" x14ac:dyDescent="0.3"/>
  <cols>
    <col min="2" max="2" width="15.44140625" bestFit="1" customWidth="1"/>
    <col min="3" max="3" width="16.77734375" bestFit="1" customWidth="1"/>
    <col min="4" max="4" width="17.88671875" bestFit="1" customWidth="1"/>
    <col min="5" max="5" width="14.21875" bestFit="1" customWidth="1"/>
    <col min="6" max="6" width="26.44140625" customWidth="1"/>
    <col min="7" max="7" width="23.6640625" customWidth="1"/>
    <col min="8" max="8" width="27" bestFit="1" customWidth="1"/>
    <col min="9" max="9" width="23" bestFit="1" customWidth="1"/>
  </cols>
  <sheetData>
    <row r="1" spans="1:9" x14ac:dyDescent="0.3">
      <c r="A1" s="3" t="s">
        <v>0</v>
      </c>
      <c r="B1" s="3" t="s">
        <v>3</v>
      </c>
      <c r="C1" s="3" t="s">
        <v>4</v>
      </c>
      <c r="D1" s="3" t="s">
        <v>2</v>
      </c>
      <c r="E1" s="3" t="s">
        <v>1</v>
      </c>
      <c r="F1" s="3" t="s">
        <v>5</v>
      </c>
      <c r="G1" s="3" t="s">
        <v>6</v>
      </c>
      <c r="H1" s="3" t="s">
        <v>7</v>
      </c>
      <c r="I1" s="4"/>
    </row>
    <row r="2" spans="1:9" x14ac:dyDescent="0.3">
      <c r="A2" s="1">
        <v>2007</v>
      </c>
      <c r="B2" s="1">
        <v>0.6</v>
      </c>
      <c r="C2" s="1">
        <f>B2*1000</f>
        <v>600</v>
      </c>
      <c r="D2" s="2">
        <v>1.39</v>
      </c>
      <c r="E2" s="2">
        <f>ROUND(C2/D2,0)</f>
        <v>432</v>
      </c>
      <c r="F2" s="1"/>
      <c r="G2" s="1"/>
      <c r="H2" s="1"/>
    </row>
    <row r="3" spans="1:9" x14ac:dyDescent="0.3">
      <c r="A3" s="1">
        <f>A2+1</f>
        <v>2008</v>
      </c>
      <c r="B3" s="1">
        <v>6.7</v>
      </c>
      <c r="C3" s="1">
        <f t="shared" ref="C3:C11" si="0">B3*1000</f>
        <v>6700</v>
      </c>
      <c r="D3" s="2">
        <v>11.63</v>
      </c>
      <c r="E3" s="2">
        <f t="shared" ref="E3:E11" si="1">ROUND(C3/D3,0)</f>
        <v>576</v>
      </c>
      <c r="F3" s="1">
        <f t="shared" ref="F3:F4" si="2">ROUND((((D3-D2)*2)/(D3+D2))*100,0)</f>
        <v>157</v>
      </c>
      <c r="G3" s="1">
        <f>ROUND((((E3-E2)*2)/(E3+E2))*100,0)</f>
        <v>29</v>
      </c>
      <c r="H3" s="1">
        <f t="shared" ref="H3:H11" si="3">ABS(ROUND(F3/G3,0))</f>
        <v>5</v>
      </c>
    </row>
    <row r="4" spans="1:9" x14ac:dyDescent="0.3">
      <c r="A4" s="1">
        <f t="shared" ref="A4:A11" si="4">A3+1</f>
        <v>2009</v>
      </c>
      <c r="B4" s="1">
        <v>13</v>
      </c>
      <c r="C4" s="1">
        <f t="shared" si="0"/>
        <v>13000</v>
      </c>
      <c r="D4" s="2">
        <v>20.73</v>
      </c>
      <c r="E4" s="2">
        <f t="shared" si="1"/>
        <v>627</v>
      </c>
      <c r="F4" s="1">
        <f t="shared" si="2"/>
        <v>56</v>
      </c>
      <c r="G4" s="1">
        <f t="shared" ref="G4:G11" si="5">ROUND((((E4-E3)*2)/(E4+E3))*100,0)</f>
        <v>8</v>
      </c>
      <c r="H4" s="1">
        <f t="shared" si="3"/>
        <v>7</v>
      </c>
    </row>
    <row r="5" spans="1:9" x14ac:dyDescent="0.3">
      <c r="A5" s="1">
        <f t="shared" si="4"/>
        <v>2010</v>
      </c>
      <c r="B5" s="1">
        <v>25.2</v>
      </c>
      <c r="C5" s="1">
        <f t="shared" si="0"/>
        <v>25200</v>
      </c>
      <c r="D5" s="2">
        <v>39.99</v>
      </c>
      <c r="E5" s="2">
        <f t="shared" si="1"/>
        <v>630</v>
      </c>
      <c r="F5" s="1">
        <f>ROUND((((D5-D4)*2)/(D5+D4))*100,0)</f>
        <v>63</v>
      </c>
      <c r="G5" s="1">
        <f t="shared" si="5"/>
        <v>0</v>
      </c>
      <c r="H5" s="1" t="e">
        <f t="shared" si="3"/>
        <v>#DIV/0!</v>
      </c>
    </row>
    <row r="6" spans="1:9" x14ac:dyDescent="0.3">
      <c r="A6" s="1">
        <f t="shared" si="4"/>
        <v>2011</v>
      </c>
      <c r="B6" s="1">
        <v>46</v>
      </c>
      <c r="C6" s="1">
        <f t="shared" si="0"/>
        <v>46000</v>
      </c>
      <c r="D6" s="2">
        <v>72.290000000000006</v>
      </c>
      <c r="E6" s="2">
        <f t="shared" si="1"/>
        <v>636</v>
      </c>
      <c r="F6" s="1">
        <f>ROUND((((D6-D5)*2)/(D6+D5))*100,0)</f>
        <v>58</v>
      </c>
      <c r="G6" s="1">
        <f t="shared" si="5"/>
        <v>1</v>
      </c>
      <c r="H6" s="1">
        <f t="shared" si="3"/>
        <v>58</v>
      </c>
    </row>
    <row r="7" spans="1:9" x14ac:dyDescent="0.3">
      <c r="A7" s="1">
        <f t="shared" si="4"/>
        <v>2012</v>
      </c>
      <c r="B7" s="1">
        <v>78.7</v>
      </c>
      <c r="C7" s="1">
        <f t="shared" si="0"/>
        <v>78700</v>
      </c>
      <c r="D7" s="2">
        <v>125.05</v>
      </c>
      <c r="E7" s="2">
        <f t="shared" si="1"/>
        <v>629</v>
      </c>
      <c r="F7" s="1">
        <f t="shared" ref="F7:F11" si="6">ROUND((((D7-D6)*2)/(D7+D6))*100,0)</f>
        <v>53</v>
      </c>
      <c r="G7" s="1">
        <f t="shared" si="5"/>
        <v>-1</v>
      </c>
      <c r="H7" s="1">
        <f t="shared" si="3"/>
        <v>53</v>
      </c>
    </row>
    <row r="8" spans="1:9" x14ac:dyDescent="0.3">
      <c r="A8" s="1">
        <f t="shared" si="4"/>
        <v>2013</v>
      </c>
      <c r="B8" s="1">
        <v>91.3</v>
      </c>
      <c r="C8" s="1">
        <f t="shared" si="0"/>
        <v>91300</v>
      </c>
      <c r="D8" s="2">
        <v>150.26</v>
      </c>
      <c r="E8" s="2">
        <f t="shared" si="1"/>
        <v>608</v>
      </c>
      <c r="F8" s="1">
        <f t="shared" si="6"/>
        <v>18</v>
      </c>
      <c r="G8" s="1">
        <f t="shared" si="5"/>
        <v>-3</v>
      </c>
      <c r="H8" s="1">
        <f t="shared" si="3"/>
        <v>6</v>
      </c>
    </row>
    <row r="9" spans="1:9" x14ac:dyDescent="0.3">
      <c r="A9" s="1">
        <f t="shared" si="4"/>
        <v>2014</v>
      </c>
      <c r="B9" s="1">
        <v>102</v>
      </c>
      <c r="C9" s="1">
        <f t="shared" si="0"/>
        <v>102000</v>
      </c>
      <c r="D9" s="2">
        <v>169.22</v>
      </c>
      <c r="E9" s="2">
        <f t="shared" si="1"/>
        <v>603</v>
      </c>
      <c r="F9" s="1">
        <f t="shared" si="6"/>
        <v>12</v>
      </c>
      <c r="G9" s="1">
        <f t="shared" si="5"/>
        <v>-1</v>
      </c>
      <c r="H9" s="1">
        <f t="shared" si="3"/>
        <v>12</v>
      </c>
    </row>
    <row r="10" spans="1:9" x14ac:dyDescent="0.3">
      <c r="A10" s="1">
        <f t="shared" si="4"/>
        <v>2015</v>
      </c>
      <c r="B10" s="1">
        <v>155</v>
      </c>
      <c r="C10" s="1">
        <f t="shared" si="0"/>
        <v>155000</v>
      </c>
      <c r="D10" s="2">
        <v>231.22</v>
      </c>
      <c r="E10" s="2">
        <f t="shared" si="1"/>
        <v>670</v>
      </c>
      <c r="F10" s="1">
        <f t="shared" si="6"/>
        <v>31</v>
      </c>
      <c r="G10" s="1">
        <f t="shared" si="5"/>
        <v>11</v>
      </c>
      <c r="H10" s="1">
        <f t="shared" si="3"/>
        <v>3</v>
      </c>
    </row>
    <row r="11" spans="1:9" x14ac:dyDescent="0.3">
      <c r="A11" s="1">
        <f t="shared" si="4"/>
        <v>2016</v>
      </c>
      <c r="B11" s="1">
        <v>136.69999999999999</v>
      </c>
      <c r="C11" s="1">
        <f t="shared" si="0"/>
        <v>136700</v>
      </c>
      <c r="D11" s="2">
        <v>211.8</v>
      </c>
      <c r="E11" s="2">
        <f t="shared" si="1"/>
        <v>645</v>
      </c>
      <c r="F11" s="1">
        <f t="shared" si="6"/>
        <v>-9</v>
      </c>
      <c r="G11" s="1">
        <f t="shared" si="5"/>
        <v>-4</v>
      </c>
      <c r="H11" s="1">
        <f t="shared" si="3"/>
        <v>2</v>
      </c>
    </row>
  </sheetData>
  <conditionalFormatting sqref="D2:E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{2FA53D32-B00F-432E-8B14-F1116DF9E916}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A53D32-B00F-432E-8B14-F1116DF9E9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D2:E11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2F82-5BE8-4554-9B79-4DB6DC353F63}">
  <dimension ref="A1"/>
  <sheetViews>
    <sheetView workbookViewId="0">
      <selection activeCell="T23" sqref="T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D5F8-085E-4408-8183-BA9808300AED}">
  <dimension ref="A1:D11"/>
  <sheetViews>
    <sheetView tabSelected="1" workbookViewId="0">
      <selection activeCell="O21" sqref="O21"/>
    </sheetView>
  </sheetViews>
  <sheetFormatPr defaultRowHeight="14.4" x14ac:dyDescent="0.3"/>
  <cols>
    <col min="2" max="2" width="17.88671875" bestFit="1" customWidth="1"/>
    <col min="3" max="3" width="14.21875" bestFit="1" customWidth="1"/>
  </cols>
  <sheetData>
    <row r="1" spans="1:4" x14ac:dyDescent="0.3">
      <c r="A1" s="3" t="s">
        <v>0</v>
      </c>
      <c r="B1" s="3" t="s">
        <v>2</v>
      </c>
      <c r="C1" s="3" t="s">
        <v>1</v>
      </c>
      <c r="D1" t="s">
        <v>7</v>
      </c>
    </row>
    <row r="2" spans="1:4" x14ac:dyDescent="0.3">
      <c r="A2" s="1">
        <v>2007</v>
      </c>
      <c r="B2" s="1">
        <v>1.39</v>
      </c>
      <c r="C2" s="1">
        <v>432</v>
      </c>
    </row>
    <row r="3" spans="1:4" x14ac:dyDescent="0.3">
      <c r="A3" s="1">
        <v>2008</v>
      </c>
      <c r="B3" s="1">
        <v>11.63</v>
      </c>
      <c r="C3" s="1">
        <v>576</v>
      </c>
      <c r="D3">
        <v>5</v>
      </c>
    </row>
    <row r="4" spans="1:4" x14ac:dyDescent="0.3">
      <c r="A4" s="1">
        <v>2009</v>
      </c>
      <c r="B4" s="1">
        <v>20.73</v>
      </c>
      <c r="C4" s="1">
        <v>627</v>
      </c>
      <c r="D4">
        <v>7</v>
      </c>
    </row>
    <row r="5" spans="1:4" x14ac:dyDescent="0.3">
      <c r="A5" s="1">
        <v>2010</v>
      </c>
      <c r="B5" s="1">
        <v>39.99</v>
      </c>
      <c r="C5" s="1">
        <v>630</v>
      </c>
      <c r="D5">
        <v>100</v>
      </c>
    </row>
    <row r="6" spans="1:4" x14ac:dyDescent="0.3">
      <c r="A6" s="1">
        <v>2011</v>
      </c>
      <c r="B6" s="1">
        <v>72.290000000000006</v>
      </c>
      <c r="C6" s="1">
        <v>636</v>
      </c>
      <c r="D6">
        <v>58</v>
      </c>
    </row>
    <row r="7" spans="1:4" x14ac:dyDescent="0.3">
      <c r="A7" s="1">
        <v>2012</v>
      </c>
      <c r="B7" s="1">
        <v>125.05</v>
      </c>
      <c r="C7" s="1">
        <v>629</v>
      </c>
      <c r="D7">
        <v>53</v>
      </c>
    </row>
    <row r="8" spans="1:4" x14ac:dyDescent="0.3">
      <c r="A8" s="1">
        <v>2013</v>
      </c>
      <c r="B8" s="1">
        <v>150.26</v>
      </c>
      <c r="C8" s="1">
        <v>608</v>
      </c>
      <c r="D8">
        <v>6</v>
      </c>
    </row>
    <row r="9" spans="1:4" x14ac:dyDescent="0.3">
      <c r="A9" s="1">
        <v>2014</v>
      </c>
      <c r="B9" s="1">
        <v>169.22</v>
      </c>
      <c r="C9" s="1">
        <v>603</v>
      </c>
      <c r="D9">
        <v>12</v>
      </c>
    </row>
    <row r="10" spans="1:4" x14ac:dyDescent="0.3">
      <c r="A10" s="1">
        <v>2015</v>
      </c>
      <c r="B10" s="1">
        <v>231.22</v>
      </c>
      <c r="C10" s="1">
        <v>670</v>
      </c>
      <c r="D10">
        <v>3</v>
      </c>
    </row>
    <row r="11" spans="1:4" x14ac:dyDescent="0.3">
      <c r="A11" s="1">
        <v>2016</v>
      </c>
      <c r="B11" s="1">
        <v>211.8</v>
      </c>
      <c r="C11" s="1">
        <v>645</v>
      </c>
      <c r="D11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 elasticity</vt:lpstr>
      <vt:lpstr>Refererence data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Nimit</dc:creator>
  <cp:lastModifiedBy>Nimit</cp:lastModifiedBy>
  <dcterms:created xsi:type="dcterms:W3CDTF">2015-06-05T18:17:20Z</dcterms:created>
  <dcterms:modified xsi:type="dcterms:W3CDTF">2022-02-03T06:32:37Z</dcterms:modified>
</cp:coreProperties>
</file>